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brazilian-analytics\data\raw\excel\"/>
    </mc:Choice>
  </mc:AlternateContent>
  <xr:revisionPtr revIDLastSave="0" documentId="13_ncr:1_{9871003F-8F75-41B3-A68D-39DF15371B36}" xr6:coauthVersionLast="47" xr6:coauthVersionMax="47" xr10:uidLastSave="{00000000-0000-0000-0000-000000000000}"/>
  <bookViews>
    <workbookView xWindow="7845" yWindow="0" windowWidth="21045" windowHeight="15585" activeTab="1" xr2:uid="{924CC56D-F169-4E2D-AF23-9C696523A0DB}"/>
  </bookViews>
  <sheets>
    <sheet name="product_category_name_translati" sheetId="1" r:id="rId1"/>
    <sheet name="Category_Profi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2" l="1"/>
  <c r="B6" i="2"/>
  <c r="B5" i="2"/>
  <c r="B3" i="2"/>
  <c r="B2" i="2"/>
</calcChain>
</file>

<file path=xl/sharedStrings.xml><?xml version="1.0" encoding="utf-8"?>
<sst xmlns="http://schemas.openxmlformats.org/spreadsheetml/2006/main" count="151" uniqueCount="144">
  <si>
    <t>product_category_name</t>
  </si>
  <si>
    <t>product_category_name_english</t>
  </si>
  <si>
    <t>beleza_saude</t>
  </si>
  <si>
    <t>health_beauty</t>
  </si>
  <si>
    <t>informatica_acessorios</t>
  </si>
  <si>
    <t>computers_accessories</t>
  </si>
  <si>
    <t>automotivo</t>
  </si>
  <si>
    <t>auto</t>
  </si>
  <si>
    <t>cama_mesa_banho</t>
  </si>
  <si>
    <t>bed_bath_table</t>
  </si>
  <si>
    <t>moveis_decoracao</t>
  </si>
  <si>
    <t>furniture_decor</t>
  </si>
  <si>
    <t>esporte_lazer</t>
  </si>
  <si>
    <t>sports_leisure</t>
  </si>
  <si>
    <t>perfumaria</t>
  </si>
  <si>
    <t>perfumery</t>
  </si>
  <si>
    <t>utilidades_domesticas</t>
  </si>
  <si>
    <t>housewares</t>
  </si>
  <si>
    <t>telefonia</t>
  </si>
  <si>
    <t>telephony</t>
  </si>
  <si>
    <t>relogios_presentes</t>
  </si>
  <si>
    <t>watches_gifts</t>
  </si>
  <si>
    <t>alimentos_bebidas</t>
  </si>
  <si>
    <t>food_drink</t>
  </si>
  <si>
    <t>bebes</t>
  </si>
  <si>
    <t>baby</t>
  </si>
  <si>
    <t>papelaria</t>
  </si>
  <si>
    <t>stationery</t>
  </si>
  <si>
    <t>tablets_impressao_imagem</t>
  </si>
  <si>
    <t>tablets_printing_image</t>
  </si>
  <si>
    <t>brinquedos</t>
  </si>
  <si>
    <t>toys</t>
  </si>
  <si>
    <t>telefonia_fixa</t>
  </si>
  <si>
    <t>fixed_telephony</t>
  </si>
  <si>
    <t>ferramentas_jardim</t>
  </si>
  <si>
    <t>garden_tools</t>
  </si>
  <si>
    <t>fashion_bolsas_e_acessorios</t>
  </si>
  <si>
    <t>fashion_bags_accessories</t>
  </si>
  <si>
    <t>eletroportateis</t>
  </si>
  <si>
    <t>small_appliances</t>
  </si>
  <si>
    <t>consoles_games</t>
  </si>
  <si>
    <t>audio</t>
  </si>
  <si>
    <t>fashion_calcados</t>
  </si>
  <si>
    <t>fashion_shoes</t>
  </si>
  <si>
    <t>cool_stuff</t>
  </si>
  <si>
    <t>malas_acessorios</t>
  </si>
  <si>
    <t>luggage_accessories</t>
  </si>
  <si>
    <t>climatizacao</t>
  </si>
  <si>
    <t>air_conditioning</t>
  </si>
  <si>
    <t>construcao_ferramentas_construcao</t>
  </si>
  <si>
    <t>construction_tools_construction</t>
  </si>
  <si>
    <t>moveis_cozinha_area_de_servico_jantar_e_jardim</t>
  </si>
  <si>
    <t>kitchen_dining_laundry_garden_furniture</t>
  </si>
  <si>
    <t>construcao_ferramentas_jardim</t>
  </si>
  <si>
    <t>costruction_tools_garden</t>
  </si>
  <si>
    <t>fashion_roupa_masculina</t>
  </si>
  <si>
    <t>fashion_male_clothing</t>
  </si>
  <si>
    <t>pet_shop</t>
  </si>
  <si>
    <t>moveis_escritorio</t>
  </si>
  <si>
    <t>office_furniture</t>
  </si>
  <si>
    <t>market_place</t>
  </si>
  <si>
    <t>eletronicos</t>
  </si>
  <si>
    <t>electronics</t>
  </si>
  <si>
    <t>eletrodomesticos</t>
  </si>
  <si>
    <t>home_appliances</t>
  </si>
  <si>
    <t>artigos_de_festas</t>
  </si>
  <si>
    <t>party_supplies</t>
  </si>
  <si>
    <t>casa_conforto</t>
  </si>
  <si>
    <t>home_confort</t>
  </si>
  <si>
    <t>construcao_ferramentas_ferramentas</t>
  </si>
  <si>
    <t>costruction_tools_tools</t>
  </si>
  <si>
    <t>agro_industria_e_comercio</t>
  </si>
  <si>
    <t>agro_industry_and_commerce</t>
  </si>
  <si>
    <t>moveis_colchao_e_estofado</t>
  </si>
  <si>
    <t>furniture_mattress_and_upholstery</t>
  </si>
  <si>
    <t>livros_tecnicos</t>
  </si>
  <si>
    <t>books_technical</t>
  </si>
  <si>
    <t>casa_construcao</t>
  </si>
  <si>
    <t>home_construction</t>
  </si>
  <si>
    <t>instrumentos_musicais</t>
  </si>
  <si>
    <t>musical_instruments</t>
  </si>
  <si>
    <t>moveis_sala</t>
  </si>
  <si>
    <t>furniture_living_room</t>
  </si>
  <si>
    <t>construcao_ferramentas_iluminacao</t>
  </si>
  <si>
    <t>construction_tools_lights</t>
  </si>
  <si>
    <t>industria_comercio_e_negocios</t>
  </si>
  <si>
    <t>industry_commerce_and_business</t>
  </si>
  <si>
    <t>alimentos</t>
  </si>
  <si>
    <t>food</t>
  </si>
  <si>
    <t>artes</t>
  </si>
  <si>
    <t>art</t>
  </si>
  <si>
    <t>moveis_quarto</t>
  </si>
  <si>
    <t>furniture_bedroom</t>
  </si>
  <si>
    <t>livros_interesse_geral</t>
  </si>
  <si>
    <t>books_general_interest</t>
  </si>
  <si>
    <t>construcao_ferramentas_seguranca</t>
  </si>
  <si>
    <t>construction_tools_safety</t>
  </si>
  <si>
    <t>fashion_underwear_e_moda_praia</t>
  </si>
  <si>
    <t>fashion_underwear_beach</t>
  </si>
  <si>
    <t>fashion_esporte</t>
  </si>
  <si>
    <t>fashion_sport</t>
  </si>
  <si>
    <t>sinalizacao_e_seguranca</t>
  </si>
  <si>
    <t>signaling_and_security</t>
  </si>
  <si>
    <t>pcs</t>
  </si>
  <si>
    <t>computers</t>
  </si>
  <si>
    <t>artigos_de_natal</t>
  </si>
  <si>
    <t>christmas_supplies</t>
  </si>
  <si>
    <t>fashion_roupa_feminina</t>
  </si>
  <si>
    <t>fashio_female_clothing</t>
  </si>
  <si>
    <t>eletrodomesticos_2</t>
  </si>
  <si>
    <t>home_appliances_2</t>
  </si>
  <si>
    <t>livros_importados</t>
  </si>
  <si>
    <t>books_imported</t>
  </si>
  <si>
    <t>bebidas</t>
  </si>
  <si>
    <t>drinks</t>
  </si>
  <si>
    <t>cine_foto</t>
  </si>
  <si>
    <t>cine_photo</t>
  </si>
  <si>
    <t>la_cuisine</t>
  </si>
  <si>
    <t>musica</t>
  </si>
  <si>
    <t>music</t>
  </si>
  <si>
    <t>casa_conforto_2</t>
  </si>
  <si>
    <t>home_comfort_2</t>
  </si>
  <si>
    <t>portateis_casa_forno_e_cafe</t>
  </si>
  <si>
    <t>small_appliances_home_oven_and_coffee</t>
  </si>
  <si>
    <t>cds_dvds_musicais</t>
  </si>
  <si>
    <t>cds_dvds_musicals</t>
  </si>
  <si>
    <t>dvds_blu_ray</t>
  </si>
  <si>
    <t>flores</t>
  </si>
  <si>
    <t>flowers</t>
  </si>
  <si>
    <t>artes_e_artesanato</t>
  </si>
  <si>
    <t>arts_and_craftmanship</t>
  </si>
  <si>
    <t>fraldas_higiene</t>
  </si>
  <si>
    <t>diapers_and_hygiene</t>
  </si>
  <si>
    <t>fashion_roupa_infanto_juvenil</t>
  </si>
  <si>
    <t>fashion_childrens_clothes</t>
  </si>
  <si>
    <t>seguros_e_servicos</t>
  </si>
  <si>
    <t>security_and_services</t>
  </si>
  <si>
    <t>Check</t>
  </si>
  <si>
    <t>Result</t>
  </si>
  <si>
    <t>Number of Rows</t>
  </si>
  <si>
    <t>Number of Columns</t>
  </si>
  <si>
    <t>Missing Portuguese Category</t>
  </si>
  <si>
    <t>Missing English Category</t>
  </si>
  <si>
    <t>Duplicate Portuguese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</si>
</sst>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D6A2175F-83B4-47F4-9660-16690EE81E3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AEFA70-7FE6-44A7-AF9E-45AC4A26AFB0}" name="CategoryTranslation" displayName="CategoryTranslation" ref="A1:B72" totalsRowShown="0">
  <autoFilter ref="A1:B72" xr:uid="{D9AEFA70-7FE6-44A7-AF9E-45AC4A26AFB0}"/>
  <tableColumns count="2">
    <tableColumn id="1" xr3:uid="{DCC558DD-355A-4BD5-9187-31504CA1B1C9}" name="product_category_name"/>
    <tableColumn id="2" xr3:uid="{A918BEC6-E09C-46E0-9AE9-F89DD468DFEB}" name="product_category_name_englis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2EBF3-AD56-43C2-A92E-33C493452CF2}">
  <dimension ref="A1:B72"/>
  <sheetViews>
    <sheetView workbookViewId="0">
      <selection sqref="A1:B72"/>
    </sheetView>
  </sheetViews>
  <sheetFormatPr defaultRowHeight="15" x14ac:dyDescent="0.25"/>
  <cols>
    <col min="1" max="1" width="46" bestFit="1" customWidth="1"/>
    <col min="2" max="2" width="3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2" x14ac:dyDescent="0.25">
      <c r="A17" t="s">
        <v>32</v>
      </c>
      <c r="B17" t="s">
        <v>33</v>
      </c>
    </row>
    <row r="18" spans="1:2" x14ac:dyDescent="0.25">
      <c r="A18" t="s">
        <v>34</v>
      </c>
      <c r="B18" t="s">
        <v>35</v>
      </c>
    </row>
    <row r="19" spans="1:2" x14ac:dyDescent="0.25">
      <c r="A19" t="s">
        <v>36</v>
      </c>
      <c r="B19" t="s">
        <v>37</v>
      </c>
    </row>
    <row r="20" spans="1:2" x14ac:dyDescent="0.25">
      <c r="A20" t="s">
        <v>38</v>
      </c>
      <c r="B20" t="s">
        <v>39</v>
      </c>
    </row>
    <row r="21" spans="1:2" x14ac:dyDescent="0.25">
      <c r="A21" t="s">
        <v>40</v>
      </c>
      <c r="B21" t="s">
        <v>40</v>
      </c>
    </row>
    <row r="22" spans="1:2" x14ac:dyDescent="0.25">
      <c r="A22" t="s">
        <v>41</v>
      </c>
      <c r="B22" t="s">
        <v>41</v>
      </c>
    </row>
    <row r="23" spans="1:2" x14ac:dyDescent="0.25">
      <c r="A23" t="s">
        <v>42</v>
      </c>
      <c r="B23" t="s">
        <v>43</v>
      </c>
    </row>
    <row r="24" spans="1:2" x14ac:dyDescent="0.25">
      <c r="A24" t="s">
        <v>44</v>
      </c>
      <c r="B24" t="s">
        <v>44</v>
      </c>
    </row>
    <row r="25" spans="1:2" x14ac:dyDescent="0.25">
      <c r="A25" t="s">
        <v>45</v>
      </c>
      <c r="B25" t="s">
        <v>46</v>
      </c>
    </row>
    <row r="26" spans="1:2" x14ac:dyDescent="0.25">
      <c r="A26" t="s">
        <v>47</v>
      </c>
      <c r="B26" t="s">
        <v>48</v>
      </c>
    </row>
    <row r="27" spans="1:2" x14ac:dyDescent="0.25">
      <c r="A27" t="s">
        <v>49</v>
      </c>
      <c r="B27" t="s">
        <v>50</v>
      </c>
    </row>
    <row r="28" spans="1:2" x14ac:dyDescent="0.25">
      <c r="A28" t="s">
        <v>51</v>
      </c>
      <c r="B28" t="s">
        <v>52</v>
      </c>
    </row>
    <row r="29" spans="1:2" x14ac:dyDescent="0.25">
      <c r="A29" t="s">
        <v>53</v>
      </c>
      <c r="B29" t="s">
        <v>54</v>
      </c>
    </row>
    <row r="30" spans="1:2" x14ac:dyDescent="0.25">
      <c r="A30" t="s">
        <v>55</v>
      </c>
      <c r="B30" t="s">
        <v>56</v>
      </c>
    </row>
    <row r="31" spans="1:2" x14ac:dyDescent="0.25">
      <c r="A31" t="s">
        <v>57</v>
      </c>
      <c r="B31" t="s">
        <v>57</v>
      </c>
    </row>
    <row r="32" spans="1:2" x14ac:dyDescent="0.25">
      <c r="A32" t="s">
        <v>58</v>
      </c>
      <c r="B32" t="s">
        <v>59</v>
      </c>
    </row>
    <row r="33" spans="1:2" x14ac:dyDescent="0.25">
      <c r="A33" t="s">
        <v>60</v>
      </c>
      <c r="B33" t="s">
        <v>60</v>
      </c>
    </row>
    <row r="34" spans="1:2" x14ac:dyDescent="0.25">
      <c r="A34" t="s">
        <v>61</v>
      </c>
      <c r="B34" t="s">
        <v>62</v>
      </c>
    </row>
    <row r="35" spans="1:2" x14ac:dyDescent="0.25">
      <c r="A35" t="s">
        <v>63</v>
      </c>
      <c r="B35" t="s">
        <v>64</v>
      </c>
    </row>
    <row r="36" spans="1:2" x14ac:dyDescent="0.25">
      <c r="A36" t="s">
        <v>65</v>
      </c>
      <c r="B36" t="s">
        <v>66</v>
      </c>
    </row>
    <row r="37" spans="1:2" x14ac:dyDescent="0.25">
      <c r="A37" t="s">
        <v>67</v>
      </c>
      <c r="B37" t="s">
        <v>68</v>
      </c>
    </row>
    <row r="38" spans="1:2" x14ac:dyDescent="0.25">
      <c r="A38" t="s">
        <v>69</v>
      </c>
      <c r="B38" t="s">
        <v>70</v>
      </c>
    </row>
    <row r="39" spans="1:2" x14ac:dyDescent="0.25">
      <c r="A39" t="s">
        <v>71</v>
      </c>
      <c r="B39" t="s">
        <v>72</v>
      </c>
    </row>
    <row r="40" spans="1:2" x14ac:dyDescent="0.25">
      <c r="A40" t="s">
        <v>73</v>
      </c>
      <c r="B40" t="s">
        <v>74</v>
      </c>
    </row>
    <row r="41" spans="1:2" x14ac:dyDescent="0.25">
      <c r="A41" t="s">
        <v>75</v>
      </c>
      <c r="B41" t="s">
        <v>76</v>
      </c>
    </row>
    <row r="42" spans="1:2" x14ac:dyDescent="0.25">
      <c r="A42" t="s">
        <v>77</v>
      </c>
      <c r="B42" t="s">
        <v>78</v>
      </c>
    </row>
    <row r="43" spans="1:2" x14ac:dyDescent="0.25">
      <c r="A43" t="s">
        <v>79</v>
      </c>
      <c r="B43" t="s">
        <v>80</v>
      </c>
    </row>
    <row r="44" spans="1:2" x14ac:dyDescent="0.25">
      <c r="A44" t="s">
        <v>81</v>
      </c>
      <c r="B44" t="s">
        <v>82</v>
      </c>
    </row>
    <row r="45" spans="1:2" x14ac:dyDescent="0.25">
      <c r="A45" t="s">
        <v>83</v>
      </c>
      <c r="B45" t="s">
        <v>84</v>
      </c>
    </row>
    <row r="46" spans="1:2" x14ac:dyDescent="0.25">
      <c r="A46" t="s">
        <v>85</v>
      </c>
      <c r="B46" t="s">
        <v>86</v>
      </c>
    </row>
    <row r="47" spans="1:2" x14ac:dyDescent="0.25">
      <c r="A47" t="s">
        <v>87</v>
      </c>
      <c r="B47" t="s">
        <v>88</v>
      </c>
    </row>
    <row r="48" spans="1:2" x14ac:dyDescent="0.25">
      <c r="A48" t="s">
        <v>89</v>
      </c>
      <c r="B48" t="s">
        <v>90</v>
      </c>
    </row>
    <row r="49" spans="1:2" x14ac:dyDescent="0.25">
      <c r="A49" t="s">
        <v>91</v>
      </c>
      <c r="B49" t="s">
        <v>92</v>
      </c>
    </row>
    <row r="50" spans="1:2" x14ac:dyDescent="0.25">
      <c r="A50" t="s">
        <v>93</v>
      </c>
      <c r="B50" t="s">
        <v>94</v>
      </c>
    </row>
    <row r="51" spans="1:2" x14ac:dyDescent="0.25">
      <c r="A51" t="s">
        <v>95</v>
      </c>
      <c r="B51" t="s">
        <v>96</v>
      </c>
    </row>
    <row r="52" spans="1:2" x14ac:dyDescent="0.25">
      <c r="A52" t="s">
        <v>97</v>
      </c>
      <c r="B52" t="s">
        <v>98</v>
      </c>
    </row>
    <row r="53" spans="1:2" x14ac:dyDescent="0.25">
      <c r="A53" t="s">
        <v>99</v>
      </c>
      <c r="B53" t="s">
        <v>100</v>
      </c>
    </row>
    <row r="54" spans="1:2" x14ac:dyDescent="0.25">
      <c r="A54" t="s">
        <v>101</v>
      </c>
      <c r="B54" t="s">
        <v>102</v>
      </c>
    </row>
    <row r="55" spans="1:2" x14ac:dyDescent="0.25">
      <c r="A55" t="s">
        <v>103</v>
      </c>
      <c r="B55" t="s">
        <v>104</v>
      </c>
    </row>
    <row r="56" spans="1:2" x14ac:dyDescent="0.25">
      <c r="A56" t="s">
        <v>105</v>
      </c>
      <c r="B56" t="s">
        <v>106</v>
      </c>
    </row>
    <row r="57" spans="1:2" x14ac:dyDescent="0.25">
      <c r="A57" t="s">
        <v>107</v>
      </c>
      <c r="B57" t="s">
        <v>108</v>
      </c>
    </row>
    <row r="58" spans="1:2" x14ac:dyDescent="0.25">
      <c r="A58" t="s">
        <v>109</v>
      </c>
      <c r="B58" t="s">
        <v>110</v>
      </c>
    </row>
    <row r="59" spans="1:2" x14ac:dyDescent="0.25">
      <c r="A59" t="s">
        <v>111</v>
      </c>
      <c r="B59" t="s">
        <v>112</v>
      </c>
    </row>
    <row r="60" spans="1:2" x14ac:dyDescent="0.25">
      <c r="A60" t="s">
        <v>113</v>
      </c>
      <c r="B60" t="s">
        <v>114</v>
      </c>
    </row>
    <row r="61" spans="1:2" x14ac:dyDescent="0.25">
      <c r="A61" t="s">
        <v>115</v>
      </c>
      <c r="B61" t="s">
        <v>116</v>
      </c>
    </row>
    <row r="62" spans="1:2" x14ac:dyDescent="0.25">
      <c r="A62" t="s">
        <v>117</v>
      </c>
      <c r="B62" t="s">
        <v>117</v>
      </c>
    </row>
    <row r="63" spans="1:2" x14ac:dyDescent="0.25">
      <c r="A63" t="s">
        <v>118</v>
      </c>
      <c r="B63" t="s">
        <v>119</v>
      </c>
    </row>
    <row r="64" spans="1:2" x14ac:dyDescent="0.25">
      <c r="A64" t="s">
        <v>120</v>
      </c>
      <c r="B64" t="s">
        <v>121</v>
      </c>
    </row>
    <row r="65" spans="1:2" x14ac:dyDescent="0.25">
      <c r="A65" t="s">
        <v>122</v>
      </c>
      <c r="B65" t="s">
        <v>123</v>
      </c>
    </row>
    <row r="66" spans="1:2" x14ac:dyDescent="0.25">
      <c r="A66" t="s">
        <v>124</v>
      </c>
      <c r="B66" t="s">
        <v>125</v>
      </c>
    </row>
    <row r="67" spans="1:2" x14ac:dyDescent="0.25">
      <c r="A67" t="s">
        <v>126</v>
      </c>
      <c r="B67" t="s">
        <v>126</v>
      </c>
    </row>
    <row r="68" spans="1:2" x14ac:dyDescent="0.25">
      <c r="A68" t="s">
        <v>127</v>
      </c>
      <c r="B68" t="s">
        <v>128</v>
      </c>
    </row>
    <row r="69" spans="1:2" x14ac:dyDescent="0.25">
      <c r="A69" t="s">
        <v>129</v>
      </c>
      <c r="B69" t="s">
        <v>130</v>
      </c>
    </row>
    <row r="70" spans="1:2" x14ac:dyDescent="0.25">
      <c r="A70" t="s">
        <v>131</v>
      </c>
      <c r="B70" t="s">
        <v>132</v>
      </c>
    </row>
    <row r="71" spans="1:2" x14ac:dyDescent="0.25">
      <c r="A71" t="s">
        <v>133</v>
      </c>
      <c r="B71" t="s">
        <v>134</v>
      </c>
    </row>
    <row r="72" spans="1:2" x14ac:dyDescent="0.25">
      <c r="A72" t="s">
        <v>135</v>
      </c>
      <c r="B72" t="s">
        <v>136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5E3E4-A8D5-4B4D-A309-164974D9F583}">
  <dimension ref="A1:B6"/>
  <sheetViews>
    <sheetView tabSelected="1" zoomScale="208" workbookViewId="0">
      <selection activeCell="C10" sqref="C10"/>
    </sheetView>
  </sheetViews>
  <sheetFormatPr defaultRowHeight="15" x14ac:dyDescent="0.25"/>
  <cols>
    <col min="1" max="1" width="30.140625" bestFit="1" customWidth="1"/>
  </cols>
  <sheetData>
    <row r="1" spans="1:2" x14ac:dyDescent="0.25">
      <c r="A1" t="s">
        <v>137</v>
      </c>
      <c r="B1" t="s">
        <v>138</v>
      </c>
    </row>
    <row r="2" spans="1:2" x14ac:dyDescent="0.25">
      <c r="A2" t="s">
        <v>139</v>
      </c>
      <c r="B2">
        <f>ROWS(CategoryTranslation[])</f>
        <v>71</v>
      </c>
    </row>
    <row r="3" spans="1:2" x14ac:dyDescent="0.25">
      <c r="A3" t="s">
        <v>140</v>
      </c>
      <c r="B3">
        <f>COLUMNS(CategoryTranslation[#Headers])</f>
        <v>2</v>
      </c>
    </row>
    <row r="4" spans="1:2" x14ac:dyDescent="0.25">
      <c r="A4" t="s">
        <v>141</v>
      </c>
      <c r="B4">
        <f>COUNTBLANK(CategoryTranslation[product_category_name])</f>
        <v>0</v>
      </c>
    </row>
    <row r="5" spans="1:2" x14ac:dyDescent="0.25">
      <c r="A5" t="s">
        <v>142</v>
      </c>
      <c r="B5">
        <f>COUNTBLANK(CategoryTranslation[product_category_name_english])</f>
        <v>0</v>
      </c>
    </row>
    <row r="6" spans="1:2" x14ac:dyDescent="0.25">
      <c r="A6" t="s">
        <v>143</v>
      </c>
      <c r="B6">
        <f>ROWS(CategoryTranslation[])-ROWS(_xlfn.UNIQUE(CategoryTranslation[product_category_name]))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product_category_name_translati</vt:lpstr>
      <vt:lpstr>Category_Profile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Shivam Gupta</cp:lastModifiedBy>
  <dcterms:created xsi:type="dcterms:W3CDTF">2026-09-11T09:15:48Z</dcterms:created>
  <dcterms:modified xsi:type="dcterms:W3CDTF">2026-09-13T08:25:09Z</dcterms:modified>
</cp:coreProperties>
</file>